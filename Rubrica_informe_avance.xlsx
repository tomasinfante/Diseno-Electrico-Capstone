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be2b1944723f420/Semestre 8/Diseño Electrico (Capstone)/"/>
    </mc:Choice>
  </mc:AlternateContent>
  <xr:revisionPtr revIDLastSave="5" documentId="11_67106701DCFB8DB96350F4497FDC0E2B9AEEB914" xr6:coauthVersionLast="47" xr6:coauthVersionMax="47" xr10:uidLastSave="{5A7B3371-E887-45E5-85EA-03C2BE48AF64}"/>
  <bookViews>
    <workbookView minimized="1" xWindow="2460" yWindow="2460" windowWidth="14400" windowHeight="7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Xb437dveSWU5JsDOY8OpCEuFqRQ==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 s="1"/>
  <c r="G9" i="1"/>
  <c r="G8" i="1"/>
  <c r="G7" i="1"/>
  <c r="G6" i="1"/>
  <c r="G5" i="1"/>
  <c r="G4" i="1"/>
  <c r="G3" i="1"/>
  <c r="G2" i="1" s="1"/>
  <c r="G19" i="1" s="1"/>
  <c r="G21" i="1" s="1"/>
  <c r="G26" i="1" s="1"/>
</calcChain>
</file>

<file path=xl/sharedStrings.xml><?xml version="1.0" encoding="utf-8"?>
<sst xmlns="http://schemas.openxmlformats.org/spreadsheetml/2006/main" count="28" uniqueCount="28">
  <si>
    <t>Grupo XX</t>
  </si>
  <si>
    <t>Excelente</t>
  </si>
  <si>
    <t>Bien </t>
  </si>
  <si>
    <t>Adecuado</t>
  </si>
  <si>
    <t>Deficiente</t>
  </si>
  <si>
    <t>Insuficiente o inexistente</t>
  </si>
  <si>
    <t>Diagrama de bloques de bajo nivel</t>
  </si>
  <si>
    <t>Presenta claramente el diagrama de bloques de bajo nivel: fuentes de energía, conexiones entre bloques, especificaciones y características de los bloques. Descripción de bloques.</t>
  </si>
  <si>
    <t>Los bloques son subdivisiones de bloques de mayor jerarquía, cumplen la funcionalidad correspondiente y tienen especificaciones claras.</t>
  </si>
  <si>
    <t>Las conexiones entre bloques están precisamente definidas</t>
  </si>
  <si>
    <t>Elección de componentes críticas</t>
  </si>
  <si>
    <t>Presenta la elección de componentes relevantes, debidamente descritas incluyendo sus características y especificaciones relevantes</t>
  </si>
  <si>
    <t>La elección de los componentes está debidamente justificada y se han elegido apropiadamente (permiten hacer lo que se requerirá de ellos)</t>
  </si>
  <si>
    <t>Indica el presupuesto, incluyendo el origen de los materiales (compra en el extranjero, compra en Chile, disponibles en el Fab-Lab, etc).</t>
  </si>
  <si>
    <t>Primer borrador de Diseño de Pruebas</t>
  </si>
  <si>
    <t>Presenta un primer borrador de cómo se realizarán las pruebas de los bloques</t>
  </si>
  <si>
    <t>Planificación</t>
  </si>
  <si>
    <t>Se muestra la planificación del trabajo semestral, indicando plazos de compra de materiales, de integración de bloques, construcción de prototipo final</t>
  </si>
  <si>
    <t>Se describe claramente como ha se repartirá el trabajo entre miembros del grupo</t>
  </si>
  <si>
    <t>Implementación y resultados (Evaluar cada bloque descrito, y la nota se promedia automáticamente)</t>
  </si>
  <si>
    <t>Se describen los bloques implementados y otros avances realizados para la entrega, utilizando un lenguaje adecuado para un informe técnico. Debe incluir el trabajo mínimo especificado para este avance</t>
  </si>
  <si>
    <t>La descripción de cada item contiene los aspectos relevantes indicados en el documento "GXX_avanceX", ordenados y presentados coherentemente (incluye anexos en caso de código).</t>
  </si>
  <si>
    <t>Los resultados se muestran usando herramientas cuantitativas y cualitativas adecuadas para un informe técnico (tablas, figuras, mediciones).</t>
  </si>
  <si>
    <t>TOTAL</t>
  </si>
  <si>
    <t>Nota parcial</t>
  </si>
  <si>
    <t>Descuento atraso (días)</t>
  </si>
  <si>
    <t>Descuento formato (número de faltas)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</si>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</sst>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Verdana"/>
      <scheme val="minor"/>
    </font>
    <font>
      <b/>
      <sz val="24"/>
      <color rgb="FF000000"/>
      <name val="Helvetica Neue"/>
    </font>
    <font>
      <b/>
      <sz val="10"/>
      <color rgb="FF000000"/>
      <name val="Helvetica Neue"/>
    </font>
    <font>
      <sz val="12"/>
      <color rgb="FF000000"/>
      <name val="Helvetica Neue"/>
    </font>
    <font>
      <sz val="12"/>
      <color rgb="FF000000"/>
      <name val="Calibri"/>
    </font>
    <font>
      <sz val="12"/>
      <name val="Verdana"/>
    </font>
    <font>
      <sz val="10"/>
      <color rgb="FF000000"/>
      <name val="Helvetica Neue"/>
    </font>
    <font>
      <sz val="12"/>
      <color theme="1"/>
      <name val="Helvetica Neue"/>
    </font>
    <font>
      <sz val="12"/>
      <color theme="1"/>
      <name val="Verdana"/>
    </font>
    <font>
      <b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9" fontId="4" fillId="0" borderId="0" xfId="0" applyNumberFormat="1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right" vertical="top" wrapText="1"/>
    </xf>
    <xf numFmtId="1" fontId="8" fillId="0" borderId="4" xfId="0" applyNumberFormat="1" applyFont="1" applyBorder="1" applyAlignment="1">
      <alignment vertical="top" wrapText="1"/>
    </xf>
    <xf numFmtId="0" fontId="7" fillId="5" borderId="4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vertical="top" wrapText="1"/>
    </xf>
    <xf numFmtId="9" fontId="4" fillId="6" borderId="0" xfId="0" applyNumberFormat="1" applyFont="1" applyFill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1" fontId="2" fillId="0" borderId="6" xfId="0" applyNumberFormat="1" applyFont="1" applyBorder="1" applyAlignment="1">
      <alignment horizontal="left" vertical="top" wrapText="1"/>
    </xf>
    <xf numFmtId="1" fontId="2" fillId="0" borderId="7" xfId="0" applyNumberFormat="1" applyFont="1" applyBorder="1" applyAlignment="1">
      <alignment horizontal="left" vertical="top" wrapText="1"/>
    </xf>
    <xf numFmtId="1" fontId="6" fillId="5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" fontId="4" fillId="0" borderId="2" xfId="0" applyNumberFormat="1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6"/>
  <sheetViews>
    <sheetView showGridLines="0" tabSelected="1" topLeftCell="A13" zoomScaleNormal="100" workbookViewId="0">
      <selection activeCell="G12" sqref="G12"/>
    </sheetView>
  </sheetViews>
  <sheetFormatPr baseColWidth="10" defaultColWidth="9.19921875" defaultRowHeight="15" customHeight="1"/>
  <cols>
    <col min="1" max="1" width="39" customWidth="1"/>
    <col min="2" max="5" width="8.46484375" customWidth="1"/>
    <col min="6" max="6" width="9.06640625" customWidth="1"/>
    <col min="7" max="8" width="9.46484375" customWidth="1"/>
    <col min="9" max="9" width="36.46484375" customWidth="1"/>
    <col min="10" max="26" width="9.46484375" customWidth="1"/>
  </cols>
  <sheetData>
    <row r="1" spans="1:26" ht="4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.75" customHeight="1">
      <c r="A2" s="29" t="s">
        <v>6</v>
      </c>
      <c r="B2" s="25"/>
      <c r="C2" s="25"/>
      <c r="D2" s="25"/>
      <c r="E2" s="25"/>
      <c r="F2" s="26"/>
      <c r="G2" s="5">
        <f>SUM(G3:G5)</f>
        <v>30</v>
      </c>
      <c r="H2" s="6">
        <v>0.3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9" customHeight="1">
      <c r="A3" s="7" t="s">
        <v>7</v>
      </c>
      <c r="B3" s="7">
        <v>1</v>
      </c>
      <c r="C3" s="8"/>
      <c r="D3" s="8"/>
      <c r="E3" s="8"/>
      <c r="F3" s="8"/>
      <c r="G3" s="9">
        <f t="shared" ref="G3:G5" si="0">(4*B3+3*C3+2*D3+1*E3)*10/4</f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7.5" customHeight="1">
      <c r="A4" s="7" t="s">
        <v>8</v>
      </c>
      <c r="B4" s="7">
        <v>1</v>
      </c>
      <c r="C4" s="8"/>
      <c r="D4" s="8"/>
      <c r="E4" s="8"/>
      <c r="F4" s="8"/>
      <c r="G4" s="9">
        <f t="shared" si="0"/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5" customHeight="1">
      <c r="A5" s="7" t="s">
        <v>9</v>
      </c>
      <c r="B5" s="10">
        <v>1</v>
      </c>
      <c r="C5" s="11"/>
      <c r="D5" s="11"/>
      <c r="E5" s="11"/>
      <c r="F5" s="11"/>
      <c r="G5" s="12">
        <f t="shared" si="0"/>
        <v>10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.5" customHeight="1">
      <c r="A6" s="29" t="s">
        <v>10</v>
      </c>
      <c r="B6" s="25"/>
      <c r="C6" s="25"/>
      <c r="D6" s="25"/>
      <c r="E6" s="25"/>
      <c r="F6" s="26"/>
      <c r="G6" s="5">
        <f>SUM(G7:G9)</f>
        <v>30</v>
      </c>
      <c r="H6" s="6">
        <v>0.3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" customHeight="1">
      <c r="A7" s="7" t="s">
        <v>11</v>
      </c>
      <c r="B7" s="7">
        <v>1</v>
      </c>
      <c r="C7" s="8"/>
      <c r="D7" s="8"/>
      <c r="E7" s="8"/>
      <c r="F7" s="8"/>
      <c r="G7" s="9">
        <f t="shared" ref="G7:G8" si="1">(4*B7+3*C7+2*D7+1*E7)*12/4</f>
        <v>12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7.5">
      <c r="A8" s="7" t="s">
        <v>12</v>
      </c>
      <c r="B8" s="7">
        <v>1</v>
      </c>
      <c r="C8" s="8"/>
      <c r="D8" s="8"/>
      <c r="E8" s="8"/>
      <c r="F8" s="8"/>
      <c r="G8" s="9">
        <f t="shared" si="1"/>
        <v>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7.5">
      <c r="A9" s="7" t="s">
        <v>13</v>
      </c>
      <c r="B9" s="7">
        <v>1</v>
      </c>
      <c r="C9" s="8"/>
      <c r="D9" s="8"/>
      <c r="E9" s="8"/>
      <c r="F9" s="8"/>
      <c r="G9" s="9">
        <f>(4*B9+3*C9+2*D9+1*E9)*6/4</f>
        <v>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.75" customHeight="1">
      <c r="A10" s="13" t="s">
        <v>14</v>
      </c>
      <c r="B10" s="13"/>
      <c r="C10" s="13"/>
      <c r="D10" s="13"/>
      <c r="E10" s="13"/>
      <c r="F10" s="13"/>
      <c r="G10" s="5">
        <f>G11</f>
        <v>5</v>
      </c>
      <c r="H10" s="6">
        <v>0.05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7.75" customHeight="1">
      <c r="A11" s="7" t="s">
        <v>15</v>
      </c>
      <c r="B11" s="14">
        <v>1</v>
      </c>
      <c r="C11" s="14"/>
      <c r="D11" s="14"/>
      <c r="E11" s="14"/>
      <c r="F11" s="14"/>
      <c r="G11" s="9">
        <f>(4*B11+3*C11+2*D11+1*E11)*5/4</f>
        <v>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7.75" customHeight="1">
      <c r="A12" s="29" t="s">
        <v>16</v>
      </c>
      <c r="B12" s="25"/>
      <c r="C12" s="25"/>
      <c r="D12" s="25"/>
      <c r="E12" s="25"/>
      <c r="F12" s="26"/>
      <c r="G12" s="5">
        <f>SUM(G13:G14)</f>
        <v>10</v>
      </c>
      <c r="H12" s="16">
        <v>0.1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2" customHeight="1">
      <c r="A13" s="7" t="s">
        <v>17</v>
      </c>
      <c r="B13" s="7">
        <v>1</v>
      </c>
      <c r="C13" s="8"/>
      <c r="D13" s="8"/>
      <c r="E13" s="8"/>
      <c r="F13" s="8"/>
      <c r="G13" s="9">
        <f t="shared" ref="G13:G14" si="2">(4*B13+3*C13+2*D13+1*E13)*5/4</f>
        <v>5</v>
      </c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25" customHeight="1">
      <c r="A14" s="7" t="s">
        <v>18</v>
      </c>
      <c r="B14" s="7">
        <v>1</v>
      </c>
      <c r="C14" s="8"/>
      <c r="D14" s="8"/>
      <c r="E14" s="8"/>
      <c r="F14" s="8"/>
      <c r="G14" s="9">
        <f t="shared" si="2"/>
        <v>5</v>
      </c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7.75" customHeight="1">
      <c r="A15" s="29" t="s">
        <v>19</v>
      </c>
      <c r="B15" s="25"/>
      <c r="C15" s="25"/>
      <c r="D15" s="25"/>
      <c r="E15" s="25"/>
      <c r="F15" s="26"/>
      <c r="G15" s="17">
        <f>SUM(G16:G18)</f>
        <v>25</v>
      </c>
      <c r="H15" s="16">
        <v>0.25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0">
      <c r="A16" s="7" t="s">
        <v>20</v>
      </c>
      <c r="B16" s="7">
        <v>1</v>
      </c>
      <c r="C16" s="8"/>
      <c r="D16" s="8"/>
      <c r="E16" s="8"/>
      <c r="F16" s="8"/>
      <c r="G16" s="9">
        <f>(4*B16+3*C16+2*D16+1*E16)*10/4</f>
        <v>10</v>
      </c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4" customHeight="1">
      <c r="A17" s="7" t="s">
        <v>21</v>
      </c>
      <c r="B17" s="7">
        <v>1</v>
      </c>
      <c r="C17" s="8"/>
      <c r="D17" s="8"/>
      <c r="E17" s="8"/>
      <c r="F17" s="8"/>
      <c r="G17" s="9">
        <f>(4*B17+3*C17+2*D17+1*E17)*5/4</f>
        <v>5</v>
      </c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1.25" customHeight="1">
      <c r="A18" s="7" t="s">
        <v>22</v>
      </c>
      <c r="B18" s="7">
        <v>1</v>
      </c>
      <c r="C18" s="8"/>
      <c r="D18" s="8"/>
      <c r="E18" s="8"/>
      <c r="F18" s="8"/>
      <c r="G18" s="9">
        <f>(4*B18+3*C18+2*D18+1*E18)*10/4</f>
        <v>10</v>
      </c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7.75" customHeight="1">
      <c r="A19" s="18" t="s">
        <v>23</v>
      </c>
      <c r="B19" s="19"/>
      <c r="C19" s="19"/>
      <c r="D19" s="19"/>
      <c r="E19" s="19"/>
      <c r="F19" s="20"/>
      <c r="G19" s="21">
        <f>SUM(G2,G6,G10,G12,G15)</f>
        <v>100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7.75" customHeight="1">
      <c r="A20" s="30"/>
      <c r="B20" s="25"/>
      <c r="C20" s="25"/>
      <c r="D20" s="25"/>
      <c r="E20" s="25"/>
      <c r="F20" s="25"/>
      <c r="G20" s="2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7.75" customHeight="1">
      <c r="A21" s="31" t="s">
        <v>24</v>
      </c>
      <c r="B21" s="25"/>
      <c r="C21" s="25"/>
      <c r="D21" s="25"/>
      <c r="E21" s="25"/>
      <c r="F21" s="26"/>
      <c r="G21" s="22">
        <f>ROUND(G19/100*6+1,1)</f>
        <v>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7.75" customHeight="1">
      <c r="A22" s="27"/>
      <c r="B22" s="25"/>
      <c r="C22" s="25"/>
      <c r="D22" s="25"/>
      <c r="E22" s="25"/>
      <c r="F22" s="25"/>
      <c r="G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7.75" customHeight="1">
      <c r="A23" s="24" t="s">
        <v>25</v>
      </c>
      <c r="B23" s="25"/>
      <c r="C23" s="25"/>
      <c r="D23" s="25"/>
      <c r="E23" s="25"/>
      <c r="F23" s="26"/>
      <c r="G23" s="22"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7.75" customHeight="1">
      <c r="A24" s="24" t="s">
        <v>26</v>
      </c>
      <c r="B24" s="25"/>
      <c r="C24" s="25"/>
      <c r="D24" s="25"/>
      <c r="E24" s="25"/>
      <c r="F24" s="26"/>
      <c r="G24" s="22"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7.75" customHeight="1">
      <c r="A25" s="27"/>
      <c r="B25" s="25"/>
      <c r="C25" s="25"/>
      <c r="D25" s="25"/>
      <c r="E25" s="25"/>
      <c r="F25" s="25"/>
      <c r="G25" s="2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7.75" customHeight="1">
      <c r="A26" s="28" t="s">
        <v>27</v>
      </c>
      <c r="B26" s="25"/>
      <c r="C26" s="25"/>
      <c r="D26" s="25"/>
      <c r="E26" s="25"/>
      <c r="F26" s="26"/>
      <c r="G26" s="23">
        <f>G21-0.5*G23-0.5*G24</f>
        <v>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A23:F23"/>
    <mergeCell ref="A24:F24"/>
    <mergeCell ref="A25:G25"/>
    <mergeCell ref="A26:F26"/>
    <mergeCell ref="A2:F2"/>
    <mergeCell ref="A6:F6"/>
    <mergeCell ref="A12:F12"/>
    <mergeCell ref="A15:F15"/>
    <mergeCell ref="A20:G20"/>
    <mergeCell ref="A21:F21"/>
    <mergeCell ref="A22:G2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Infante</cp:lastModifiedBy>
  <dcterms:modified xsi:type="dcterms:W3CDTF">2026-09-04T23:37:51Z</dcterms:modified>
</cp:coreProperties>
</file>