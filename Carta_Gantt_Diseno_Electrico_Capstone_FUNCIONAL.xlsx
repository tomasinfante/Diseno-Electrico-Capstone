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d.docs.live.net/4be2b1944723f420/Semestre 8/Diseño Electrico (Capstone)/"/>
    </mc:Choice>
  </mc:AlternateContent>
  <xr:revisionPtr revIDLastSave="457" documentId="11_0CF0BACE9241B4C3851931D05624E8C9C3F64FA1" xr6:coauthVersionLast="47" xr6:coauthVersionMax="47" xr10:uidLastSave="{EFC427FC-3FB8-45B6-9B4B-116AAF6B0C61}"/>
  <bookViews>
    <workbookView xWindow="-110" yWindow="-110" windowWidth="19420" windowHeight="10300" xr2:uid="{00000000-000D-0000-FFFF-FFFF00000000}"/>
  </bookViews>
  <sheets>
    <sheet name="Carta Gant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<sst xmlns="http://schemas.openxmlformats.org/spreadsheetml/2006/main" count="203" uniqueCount="93">
  <si>
    <t>DISEÑO ELÉCTRICO (CAPSTONE) — CARTA GANTT</t>
  </si>
  <si>
    <t>Plan de trabajo · 3 integrantes · 18 semanas · Inicio: semana del 10 de agosto · S17: semana del 30 de noviembre</t>
  </si>
  <si>
    <t>Actividad</t>
  </si>
  <si>
    <t>Responsable</t>
  </si>
  <si>
    <t>Estado</t>
  </si>
  <si>
    <t>Inicio</t>
  </si>
  <si>
    <t>Fin</t>
  </si>
  <si>
    <t>% avance</t>
  </si>
  <si>
    <t>S1
10/08</t>
  </si>
  <si>
    <t>S2
17/08</t>
  </si>
  <si>
    <t>S3
24/08</t>
  </si>
  <si>
    <t>S4
31/08</t>
  </si>
  <si>
    <t>S5
07/09</t>
  </si>
  <si>
    <t>S6
14/09</t>
  </si>
  <si>
    <t>S7
21/09</t>
  </si>
  <si>
    <t>S8
28/09</t>
  </si>
  <si>
    <t>S9
05/10</t>
  </si>
  <si>
    <t>S10
12/10</t>
  </si>
  <si>
    <t>S11
19/10</t>
  </si>
  <si>
    <t>S12
26/10</t>
  </si>
  <si>
    <t>S13
02/11</t>
  </si>
  <si>
    <t>S14
09/11</t>
  </si>
  <si>
    <t>S15
16/11</t>
  </si>
  <si>
    <t>S16
23/11</t>
  </si>
  <si>
    <t>S17
30/11</t>
  </si>
  <si>
    <t>S18
07/12</t>
  </si>
  <si>
    <t>Analizar requisitos y restricciones del proyecto</t>
  </si>
  <si>
    <t>Todos</t>
  </si>
  <si>
    <t>Completado</t>
  </si>
  <si>
    <t>Definir objetivos y alcance del sistema</t>
  </si>
  <si>
    <t>Identificar subsistemas y arquitectura general</t>
  </si>
  <si>
    <t>Distribuir responsabilidades y metodología de trabajo</t>
  </si>
  <si>
    <t>Investigar alternativas de plataforma y actuadores</t>
  </si>
  <si>
    <t>Juan Pablo</t>
  </si>
  <si>
    <t>Investigar alternativas de sensado angular</t>
  </si>
  <si>
    <t>Tomas</t>
  </si>
  <si>
    <t>Investigar alternativas de cámara y procesamiento</t>
  </si>
  <si>
    <t>Pablo</t>
  </si>
  <si>
    <t>Elaborar arquitectura eléctrica y diagrama de bloques inicial</t>
  </si>
  <si>
    <t>Elaborar planificación, Carta Gantt y estrategia de validación</t>
  </si>
  <si>
    <t>Seleccionar actuadores para pan y tilt</t>
  </si>
  <si>
    <t>Seleccionar sensores de posición angular</t>
  </si>
  <si>
    <t>Definir rangos angulares y límites de ambos ejes</t>
  </si>
  <si>
    <t>Preparar informe y presentación de diseño y planificación</t>
  </si>
  <si>
    <t>En progreso</t>
  </si>
  <si>
    <t>Entrega diseño y planificación</t>
  </si>
  <si>
    <t>Actividad especial</t>
  </si>
  <si>
    <t>No iniciado</t>
  </si>
  <si>
    <t>Consolidar selección de componentes y presupuesto</t>
  </si>
  <si>
    <t>Adquirir y verificar componentes principales</t>
  </si>
  <si>
    <t>Entrega de cámara y plataforma de procesamiento</t>
  </si>
  <si>
    <t>Diseñar conceptualmente la estructura mecánica 2-DOF</t>
  </si>
  <si>
    <t>Definir electrónica de accionamiento y alimentación</t>
  </si>
  <si>
    <t>Diseñar en detalle la estructura mecánica</t>
  </si>
  <si>
    <t>Definir estrategia inicial de detección y seguimiento</t>
  </si>
  <si>
    <t>Preparar informe y evidencia del primer avance</t>
  </si>
  <si>
    <t>Primer avance — 5 %</t>
  </si>
  <si>
    <t>Fabricar y ensamblar estructura mecánica preliminar</t>
  </si>
  <si>
    <t>Integrar actuadores a los dos ejes</t>
  </si>
  <si>
    <t>Semana de receso</t>
  </si>
  <si>
    <t>Integrar sensores angulares a los dos ejes</t>
  </si>
  <si>
    <t>Implementar accionamiento básico independiente por eje</t>
  </si>
  <si>
    <t>Calibrar medición angular y referencias mecánicas</t>
  </si>
  <si>
    <t>Implementar límites de recorrido y protecciones básicas</t>
  </si>
  <si>
    <t>Implementar adquisición de imagen de la cámara</t>
  </si>
  <si>
    <t>Primeras pruebas del sistema de vision por computador</t>
  </si>
  <si>
    <t>Caracterizar respuesta dinámica de ambos ejes</t>
  </si>
  <si>
    <t>Integrar mecánica, accionamiento, sensado y adquisición</t>
  </si>
  <si>
    <t>Preparar informe, resultados y presentación del segundo avance</t>
  </si>
  <si>
    <t>Segundo avance — 25 %</t>
  </si>
  <si>
    <t>Diseñar e implementar control de posición por eje</t>
  </si>
  <si>
    <t>Sintonizar controladores de pan y tilt</t>
  </si>
  <si>
    <t>Implementar cálculo del error visual en ambos ejes</t>
  </si>
  <si>
    <t>Calibrar relación entre coordenadas de imagen y movimiento angular</t>
  </si>
  <si>
    <t>Integrar detección visual con control de posición</t>
  </si>
  <si>
    <t>Implementar detección del objeto a escala</t>
  </si>
  <si>
    <t>Implementar detección del objetivo de patrón luminoso desconocido</t>
  </si>
  <si>
    <t>Implementar detección de pérdida y detecciones inválidas</t>
  </si>
  <si>
    <t>Implementar seguimiento automático en ambos ejes</t>
  </si>
  <si>
    <t>Implementar estimación y predicción de trayectoria</t>
  </si>
  <si>
    <t>Implementar estrategia de seguimiento durante oclusiones</t>
  </si>
  <si>
    <t>Implementar modos de búsqueda, adquisición y operación segura</t>
  </si>
  <si>
    <t>Integrar registro de variables y datos de seguimiento</t>
  </si>
  <si>
    <t>Preparar informe, resultados y presentación del tercer avance</t>
  </si>
  <si>
    <t>Tercer avance — 60 %</t>
  </si>
  <si>
    <t>Diseñar esquemático y PCB definitiva del sistema</t>
  </si>
  <si>
    <t>Mandar a hacer, montar y verificar PCB</t>
  </si>
  <si>
    <t>Integrar PCB y sistema electrónico definitivo</t>
  </si>
  <si>
    <t>Realizar pruebas de perturbaciones, oclusiones y recuperación</t>
  </si>
  <si>
    <t>Validar límites, protecciones, fallas y modos seguros</t>
  </si>
  <si>
    <t>Realizar validación integral con los tres objetivos y registrar resultados</t>
  </si>
  <si>
    <t>Corregir sistema y preparar informe, presentación y demostración final</t>
  </si>
  <si>
    <t>Entrega y demostración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</si>
</sst>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8">
    <font>
      <sz val="11"/>
      <name val="Carlito"/>
    </font>
    <font>
      <b/>
      <sz val="18"/>
      <color rgb="FFFFFFFF"/>
      <name val="Carlito"/>
    </font>
    <font>
      <i/>
      <sz val="11"/>
      <color rgb="FF16324F"/>
      <name val="Carlito"/>
    </font>
    <font>
      <b/>
      <sz val="11"/>
      <color rgb="FFFFFFFF"/>
      <name val="Carlito"/>
    </font>
    <font>
      <sz val="11"/>
      <color rgb="FFFFFFFF"/>
      <name val="Carlito"/>
    </font>
    <font>
      <sz val="11"/>
      <color rgb="FF000000"/>
      <name val="Carlito"/>
    </font>
    <font>
      <sz val="11"/>
      <color theme="0"/>
      <name val="Carlito"/>
    </font>
    <font>
      <u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DCEAF7"/>
      </patternFill>
    </fill>
    <fill>
      <patternFill patternType="solid">
        <fgColor rgb="FF2E6F95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6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14" fontId="5" fillId="0" borderId="1" xfId="0" applyNumberFormat="1" applyFont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fill>
        <patternFill patternType="solid">
          <bgColor rgb="FFC00000"/>
        </patternFill>
      </fill>
    </dxf>
    <dxf>
      <fill>
        <patternFill patternType="solid">
          <bgColor rgb="FF8064A2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5B9BD5"/>
        </patternFill>
      </fill>
    </dxf>
    <dxf>
      <fill>
        <patternFill patternType="solid">
          <bgColor rgb="FF70AD47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color rgb="FF7F6000"/>
      </font>
      <fill>
        <patternFill patternType="solid">
          <bgColor rgb="FFFFE699"/>
        </patternFill>
      </fill>
    </dxf>
    <dxf>
      <font>
        <color rgb="FF375623"/>
      </font>
      <fill>
        <patternFill patternType="solid">
          <bgColor rgb="FFC6E0B4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ont>
        <b/>
        <color rgb="FFFFFFFF"/>
      </font>
      <fill>
        <patternFill patternType="solid">
          <bgColor rgb="FF8064A2"/>
        </patternFill>
      </fill>
    </dxf>
    <dxf>
      <font>
        <b/>
        <color rgb="FFFFFFFF"/>
      </font>
      <fill>
        <patternFill patternType="solid">
          <bgColor rgb="FFED7D31"/>
        </patternFill>
      </fill>
    </dxf>
    <dxf>
      <font>
        <b/>
        <color rgb="FFFFFFFF"/>
      </font>
      <fill>
        <patternFill patternType="solid">
          <bgColor rgb="FF5B9BD5"/>
        </patternFill>
      </fill>
    </dxf>
    <dxf>
      <font>
        <b/>
        <color rgb="FFFFFFFF"/>
      </font>
      <fill>
        <patternFill patternType="solid">
          <bgColor rgb="FF70AD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"/>
  <sheetViews>
    <sheetView tabSelected="1" topLeftCell="A6" zoomScale="66" zoomScaleNormal="66" workbookViewId="0">
      <selection activeCell="M13" sqref="M13"/>
    </sheetView>
  </sheetViews>
  <sheetFormatPr defaultColWidth="8.625" defaultRowHeight="14.1"/>
  <cols>
    <col min="1" max="1" width="34" customWidth="1"/>
    <col min="2" max="2" width="18" customWidth="1"/>
    <col min="3" max="3" width="14" customWidth="1"/>
    <col min="4" max="5" width="12" customWidth="1"/>
    <col min="6" max="6" width="11" customWidth="1"/>
    <col min="7" max="24" width="8" customWidth="1"/>
  </cols>
  <sheetData>
    <row r="1" spans="1:2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5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5" spans="1:24" ht="2.65" customHeight="1">
      <c r="A5" s="2"/>
      <c r="B5" s="2"/>
      <c r="C5" s="2"/>
      <c r="D5" s="2"/>
      <c r="E5" s="2"/>
      <c r="F5" s="2"/>
      <c r="G5" s="3">
        <v>46244</v>
      </c>
      <c r="H5" s="3">
        <v>46251</v>
      </c>
      <c r="I5" s="3">
        <v>46258</v>
      </c>
      <c r="J5" s="3">
        <v>46265</v>
      </c>
      <c r="K5" s="3">
        <v>46272</v>
      </c>
      <c r="L5" s="3">
        <v>46279</v>
      </c>
      <c r="M5" s="3">
        <v>46286</v>
      </c>
      <c r="N5" s="3">
        <v>46293</v>
      </c>
      <c r="O5" s="3">
        <v>46300</v>
      </c>
      <c r="P5" s="3">
        <v>46307</v>
      </c>
      <c r="Q5" s="3">
        <v>46314</v>
      </c>
      <c r="R5" s="3">
        <v>46321</v>
      </c>
      <c r="S5" s="3">
        <v>46328</v>
      </c>
      <c r="T5" s="3">
        <v>46335</v>
      </c>
      <c r="U5" s="3">
        <v>46342</v>
      </c>
      <c r="V5" s="3">
        <v>46349</v>
      </c>
      <c r="W5" s="3">
        <v>46356</v>
      </c>
      <c r="X5" s="3">
        <v>46363</v>
      </c>
    </row>
    <row r="6" spans="1:24" ht="22.7" customHeight="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</row>
    <row r="7" spans="1:24" ht="27.95">
      <c r="A7" s="4" t="s">
        <v>26</v>
      </c>
      <c r="B7" s="4" t="s">
        <v>27</v>
      </c>
      <c r="C7" s="4" t="s">
        <v>28</v>
      </c>
      <c r="D7" s="9">
        <v>46244</v>
      </c>
      <c r="E7" s="9">
        <v>46244</v>
      </c>
      <c r="F7" s="5">
        <v>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>
      <c r="A8" s="4" t="s">
        <v>29</v>
      </c>
      <c r="B8" s="4" t="s">
        <v>27</v>
      </c>
      <c r="C8" s="4" t="s">
        <v>28</v>
      </c>
      <c r="D8" s="9">
        <v>46244</v>
      </c>
      <c r="E8" s="9">
        <v>46244</v>
      </c>
      <c r="F8" s="5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27.95">
      <c r="A9" s="4" t="s">
        <v>30</v>
      </c>
      <c r="B9" s="4" t="s">
        <v>27</v>
      </c>
      <c r="C9" s="4" t="s">
        <v>28</v>
      </c>
      <c r="D9" s="9">
        <v>46244</v>
      </c>
      <c r="E9" s="9">
        <v>46251</v>
      </c>
      <c r="F9" s="5">
        <v>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27.95">
      <c r="A10" s="4" t="s">
        <v>31</v>
      </c>
      <c r="B10" s="4" t="s">
        <v>27</v>
      </c>
      <c r="C10" s="4" t="s">
        <v>28</v>
      </c>
      <c r="D10" s="9">
        <v>46244</v>
      </c>
      <c r="E10" s="9">
        <v>46244</v>
      </c>
      <c r="F10" s="5">
        <v>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27.95">
      <c r="A11" s="4" t="s">
        <v>32</v>
      </c>
      <c r="B11" s="4" t="s">
        <v>33</v>
      </c>
      <c r="C11" s="4" t="s">
        <v>28</v>
      </c>
      <c r="D11" s="9">
        <v>46244</v>
      </c>
      <c r="E11" s="9">
        <v>46251</v>
      </c>
      <c r="F11" s="5">
        <v>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27.95">
      <c r="A12" s="4" t="s">
        <v>34</v>
      </c>
      <c r="B12" s="4" t="s">
        <v>35</v>
      </c>
      <c r="C12" s="4" t="s">
        <v>28</v>
      </c>
      <c r="D12" s="9">
        <v>46244</v>
      </c>
      <c r="E12" s="9">
        <v>46251</v>
      </c>
      <c r="F12" s="5">
        <v>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27.95">
      <c r="A13" s="4" t="s">
        <v>36</v>
      </c>
      <c r="B13" s="4" t="s">
        <v>37</v>
      </c>
      <c r="C13" s="4" t="s">
        <v>28</v>
      </c>
      <c r="D13" s="9">
        <v>46244</v>
      </c>
      <c r="E13" s="9">
        <v>46251</v>
      </c>
      <c r="F13" s="5">
        <v>1</v>
      </c>
      <c r="G13" s="6"/>
      <c r="H13" s="6"/>
      <c r="I13" s="6"/>
      <c r="J13" s="6"/>
      <c r="K13" s="6"/>
      <c r="L13" s="6"/>
      <c r="M13" s="13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27.95">
      <c r="A14" s="4" t="s">
        <v>38</v>
      </c>
      <c r="B14" s="4" t="s">
        <v>37</v>
      </c>
      <c r="C14" s="4" t="s">
        <v>28</v>
      </c>
      <c r="D14" s="9">
        <v>46251</v>
      </c>
      <c r="E14" s="9">
        <v>46258</v>
      </c>
      <c r="F14" s="5">
        <v>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27.95">
      <c r="A15" s="4" t="s">
        <v>39</v>
      </c>
      <c r="B15" s="4" t="s">
        <v>27</v>
      </c>
      <c r="C15" s="4" t="s">
        <v>28</v>
      </c>
      <c r="D15" s="9">
        <v>46244</v>
      </c>
      <c r="E15" s="9">
        <v>46258</v>
      </c>
      <c r="F15" s="5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>
      <c r="A16" s="4" t="s">
        <v>40</v>
      </c>
      <c r="B16" s="4" t="s">
        <v>35</v>
      </c>
      <c r="C16" s="4" t="s">
        <v>28</v>
      </c>
      <c r="D16" s="9">
        <v>46251</v>
      </c>
      <c r="E16" s="9">
        <v>46258</v>
      </c>
      <c r="F16" s="5">
        <v>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27.95">
      <c r="A17" s="4" t="s">
        <v>41</v>
      </c>
      <c r="B17" s="4" t="s">
        <v>35</v>
      </c>
      <c r="C17" s="4" t="s">
        <v>28</v>
      </c>
      <c r="D17" s="9">
        <v>46251</v>
      </c>
      <c r="E17" s="9">
        <v>46258</v>
      </c>
      <c r="F17" s="5">
        <v>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27.95">
      <c r="A18" s="4" t="s">
        <v>42</v>
      </c>
      <c r="B18" s="4" t="s">
        <v>35</v>
      </c>
      <c r="C18" s="4" t="s">
        <v>28</v>
      </c>
      <c r="D18" s="9">
        <v>46251</v>
      </c>
      <c r="E18" s="9">
        <v>46258</v>
      </c>
      <c r="F18" s="5">
        <v>1</v>
      </c>
      <c r="G18" s="6"/>
      <c r="H18" s="6"/>
      <c r="I18" s="6"/>
      <c r="J18" s="6"/>
      <c r="K18" s="12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27.95">
      <c r="A19" s="4" t="s">
        <v>43</v>
      </c>
      <c r="B19" s="4" t="s">
        <v>27</v>
      </c>
      <c r="C19" s="4" t="s">
        <v>44</v>
      </c>
      <c r="D19" s="9">
        <v>46251</v>
      </c>
      <c r="E19" s="9">
        <v>46258</v>
      </c>
      <c r="F19" s="5">
        <v>0.9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95" customHeight="1">
      <c r="A20" s="7" t="s">
        <v>45</v>
      </c>
      <c r="B20" s="4" t="s">
        <v>46</v>
      </c>
      <c r="C20" s="8" t="s">
        <v>47</v>
      </c>
      <c r="D20" s="10">
        <v>46258</v>
      </c>
      <c r="E20" s="10">
        <v>46260</v>
      </c>
      <c r="F20" s="5">
        <v>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27.95">
      <c r="A21" s="4" t="s">
        <v>48</v>
      </c>
      <c r="B21" s="4" t="s">
        <v>27</v>
      </c>
      <c r="C21" s="4" t="s">
        <v>44</v>
      </c>
      <c r="D21" s="9">
        <v>46258</v>
      </c>
      <c r="E21" s="9">
        <v>46265</v>
      </c>
      <c r="F21" s="5">
        <v>0.7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27.95">
      <c r="A22" s="4" t="s">
        <v>49</v>
      </c>
      <c r="B22" s="4" t="s">
        <v>33</v>
      </c>
      <c r="C22" s="4" t="s">
        <v>44</v>
      </c>
      <c r="D22" s="9">
        <v>46258</v>
      </c>
      <c r="E22" s="9">
        <v>46272</v>
      </c>
      <c r="F22" s="5">
        <v>0.5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27.95">
      <c r="A23" s="4" t="s">
        <v>50</v>
      </c>
      <c r="B23" s="4" t="s">
        <v>46</v>
      </c>
      <c r="C23" s="4" t="s">
        <v>47</v>
      </c>
      <c r="D23" s="9">
        <v>46265</v>
      </c>
      <c r="E23" s="9">
        <v>46265</v>
      </c>
      <c r="F23" s="5">
        <v>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27.95">
      <c r="A24" s="4" t="s">
        <v>51</v>
      </c>
      <c r="B24" s="4" t="s">
        <v>33</v>
      </c>
      <c r="C24" s="4" t="s">
        <v>44</v>
      </c>
      <c r="D24" s="9">
        <v>46258</v>
      </c>
      <c r="E24" s="9">
        <v>46272</v>
      </c>
      <c r="F24" s="5">
        <v>0.7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27.95">
      <c r="A25" s="4" t="s">
        <v>52</v>
      </c>
      <c r="B25" s="4" t="s">
        <v>35</v>
      </c>
      <c r="C25" s="4" t="s">
        <v>44</v>
      </c>
      <c r="D25" s="9">
        <v>46258</v>
      </c>
      <c r="E25" s="9">
        <v>46272</v>
      </c>
      <c r="F25" s="5">
        <v>0.6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>
      <c r="A26" s="4" t="s">
        <v>53</v>
      </c>
      <c r="B26" s="4" t="s">
        <v>33</v>
      </c>
      <c r="C26" s="4" t="s">
        <v>44</v>
      </c>
      <c r="D26" s="11">
        <v>46265</v>
      </c>
      <c r="E26" s="11">
        <v>46272</v>
      </c>
      <c r="F26" s="5">
        <v>0.3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27.95">
      <c r="A27" s="4" t="s">
        <v>54</v>
      </c>
      <c r="B27" s="4" t="s">
        <v>37</v>
      </c>
      <c r="C27" s="4" t="s">
        <v>44</v>
      </c>
      <c r="D27" s="9">
        <v>46265</v>
      </c>
      <c r="E27" s="9">
        <v>46272</v>
      </c>
      <c r="F27" s="5">
        <v>0.3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27.95">
      <c r="A28" s="4" t="s">
        <v>55</v>
      </c>
      <c r="B28" s="4" t="s">
        <v>27</v>
      </c>
      <c r="C28" s="4" t="s">
        <v>47</v>
      </c>
      <c r="D28" s="9">
        <v>46265</v>
      </c>
      <c r="E28" s="9">
        <v>46272</v>
      </c>
      <c r="F28" s="5">
        <v>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>
      <c r="A29" s="7" t="s">
        <v>56</v>
      </c>
      <c r="B29" s="4" t="s">
        <v>46</v>
      </c>
      <c r="C29" s="4" t="s">
        <v>47</v>
      </c>
      <c r="D29" s="10">
        <v>46272</v>
      </c>
      <c r="E29" s="10">
        <v>46274</v>
      </c>
      <c r="F29" s="5">
        <v>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27.95">
      <c r="A30" s="4" t="s">
        <v>57</v>
      </c>
      <c r="B30" s="4" t="s">
        <v>33</v>
      </c>
      <c r="C30" s="4" t="s">
        <v>47</v>
      </c>
      <c r="D30" s="11">
        <v>46272</v>
      </c>
      <c r="E30" s="11">
        <v>46286</v>
      </c>
      <c r="F30" s="5">
        <v>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>
      <c r="A31" s="4" t="s">
        <v>58</v>
      </c>
      <c r="B31" s="4" t="s">
        <v>35</v>
      </c>
      <c r="C31" s="4" t="s">
        <v>47</v>
      </c>
      <c r="D31" s="11">
        <v>46272</v>
      </c>
      <c r="E31" s="11">
        <v>46286</v>
      </c>
      <c r="F31" s="5">
        <v>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>
      <c r="A32" s="4" t="s">
        <v>59</v>
      </c>
      <c r="B32" s="4" t="s">
        <v>27</v>
      </c>
      <c r="C32" s="4" t="s">
        <v>47</v>
      </c>
      <c r="D32" s="11">
        <v>46279</v>
      </c>
      <c r="E32" s="11">
        <v>46279</v>
      </c>
      <c r="F32" s="5">
        <v>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27.95">
      <c r="A33" s="4" t="s">
        <v>60</v>
      </c>
      <c r="B33" s="4" t="s">
        <v>35</v>
      </c>
      <c r="C33" s="4" t="s">
        <v>47</v>
      </c>
      <c r="D33" s="9">
        <v>46286</v>
      </c>
      <c r="E33" s="9">
        <v>46293</v>
      </c>
      <c r="F33" s="5">
        <v>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27.95">
      <c r="A34" s="4" t="s">
        <v>61</v>
      </c>
      <c r="B34" s="4" t="s">
        <v>35</v>
      </c>
      <c r="C34" s="4" t="s">
        <v>47</v>
      </c>
      <c r="D34" s="9">
        <v>46286</v>
      </c>
      <c r="E34" s="9">
        <v>46293</v>
      </c>
      <c r="F34" s="5">
        <v>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27.95">
      <c r="A35" s="4" t="s">
        <v>62</v>
      </c>
      <c r="B35" s="4" t="s">
        <v>33</v>
      </c>
      <c r="C35" s="4" t="s">
        <v>47</v>
      </c>
      <c r="D35" s="9">
        <v>46286</v>
      </c>
      <c r="E35" s="9">
        <v>46293</v>
      </c>
      <c r="F35" s="5">
        <v>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27.95">
      <c r="A36" s="4" t="s">
        <v>63</v>
      </c>
      <c r="B36" s="4" t="s">
        <v>33</v>
      </c>
      <c r="C36" s="4" t="s">
        <v>47</v>
      </c>
      <c r="D36" s="9">
        <v>46286</v>
      </c>
      <c r="E36" s="9">
        <v>46293</v>
      </c>
      <c r="F36" s="5">
        <v>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27.95">
      <c r="A37" s="4" t="s">
        <v>64</v>
      </c>
      <c r="B37" s="4" t="s">
        <v>37</v>
      </c>
      <c r="C37" s="4" t="s">
        <v>47</v>
      </c>
      <c r="D37" s="9">
        <v>46286</v>
      </c>
      <c r="E37" s="9">
        <v>46293</v>
      </c>
      <c r="F37" s="5">
        <v>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27.95">
      <c r="A38" s="4" t="s">
        <v>65</v>
      </c>
      <c r="B38" s="4" t="s">
        <v>37</v>
      </c>
      <c r="C38" s="4" t="s">
        <v>47</v>
      </c>
      <c r="D38" s="9">
        <v>46286</v>
      </c>
      <c r="E38" s="9">
        <v>46293</v>
      </c>
      <c r="F38" s="5">
        <v>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27.95">
      <c r="A39" s="4" t="s">
        <v>66</v>
      </c>
      <c r="B39" s="4" t="s">
        <v>37</v>
      </c>
      <c r="C39" s="4" t="s">
        <v>47</v>
      </c>
      <c r="D39" s="9">
        <v>46286</v>
      </c>
      <c r="E39" s="9">
        <v>46293</v>
      </c>
      <c r="F39" s="5">
        <v>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27.95">
      <c r="A40" s="4" t="s">
        <v>67</v>
      </c>
      <c r="B40" s="4" t="s">
        <v>27</v>
      </c>
      <c r="C40" s="4" t="s">
        <v>47</v>
      </c>
      <c r="D40" s="9">
        <v>46286</v>
      </c>
      <c r="E40" s="9">
        <v>46293</v>
      </c>
      <c r="F40" s="5">
        <v>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27.95">
      <c r="A41" s="4" t="s">
        <v>68</v>
      </c>
      <c r="B41" s="4" t="s">
        <v>27</v>
      </c>
      <c r="C41" s="4" t="s">
        <v>47</v>
      </c>
      <c r="D41" s="9">
        <v>46286</v>
      </c>
      <c r="E41" s="9">
        <v>46293</v>
      </c>
      <c r="F41" s="5">
        <v>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>
      <c r="A42" s="7" t="s">
        <v>69</v>
      </c>
      <c r="B42" s="4" t="s">
        <v>46</v>
      </c>
      <c r="C42" s="4" t="s">
        <v>47</v>
      </c>
      <c r="D42" s="10">
        <v>46293</v>
      </c>
      <c r="E42" s="10">
        <v>46295</v>
      </c>
      <c r="F42" s="5">
        <v>0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27.95">
      <c r="A43" s="4" t="s">
        <v>70</v>
      </c>
      <c r="B43" s="4" t="s">
        <v>37</v>
      </c>
      <c r="C43" s="4" t="s">
        <v>47</v>
      </c>
      <c r="D43" s="9">
        <v>46300</v>
      </c>
      <c r="E43" s="9">
        <v>46314</v>
      </c>
      <c r="F43" s="5">
        <v>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>
      <c r="A44" s="4" t="s">
        <v>71</v>
      </c>
      <c r="B44" s="4" t="s">
        <v>35</v>
      </c>
      <c r="C44" s="4" t="s">
        <v>47</v>
      </c>
      <c r="D44" s="9">
        <v>46300</v>
      </c>
      <c r="E44" s="9">
        <v>46307</v>
      </c>
      <c r="F44" s="5">
        <v>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27.95">
      <c r="A45" s="4" t="s">
        <v>72</v>
      </c>
      <c r="B45" s="4" t="s">
        <v>37</v>
      </c>
      <c r="C45" s="4" t="s">
        <v>47</v>
      </c>
      <c r="D45" s="9">
        <v>46300</v>
      </c>
      <c r="E45" s="9">
        <v>46307</v>
      </c>
      <c r="F45" s="5">
        <v>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27.95">
      <c r="A46" s="4" t="s">
        <v>73</v>
      </c>
      <c r="B46" s="4" t="s">
        <v>33</v>
      </c>
      <c r="C46" s="4" t="s">
        <v>47</v>
      </c>
      <c r="D46" s="9">
        <v>46300</v>
      </c>
      <c r="E46" s="9">
        <v>46307</v>
      </c>
      <c r="F46" s="5">
        <v>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27.95">
      <c r="A47" s="4" t="s">
        <v>74</v>
      </c>
      <c r="B47" s="4" t="s">
        <v>37</v>
      </c>
      <c r="C47" s="4" t="s">
        <v>47</v>
      </c>
      <c r="D47" s="9">
        <v>46307</v>
      </c>
      <c r="E47" s="9">
        <v>46314</v>
      </c>
      <c r="F47" s="5">
        <v>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27.95">
      <c r="A48" s="4" t="s">
        <v>75</v>
      </c>
      <c r="B48" s="4" t="s">
        <v>35</v>
      </c>
      <c r="C48" s="4" t="s">
        <v>47</v>
      </c>
      <c r="D48" s="9">
        <v>46307</v>
      </c>
      <c r="E48" s="9">
        <v>46314</v>
      </c>
      <c r="F48" s="5">
        <v>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27.95">
      <c r="A49" s="4" t="s">
        <v>76</v>
      </c>
      <c r="B49" s="4" t="s">
        <v>33</v>
      </c>
      <c r="C49" s="4" t="s">
        <v>47</v>
      </c>
      <c r="D49" s="9">
        <v>46307</v>
      </c>
      <c r="E49" s="9">
        <v>46314</v>
      </c>
      <c r="F49" s="5">
        <v>0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27.95">
      <c r="A50" s="4" t="s">
        <v>77</v>
      </c>
      <c r="B50" s="4" t="s">
        <v>37</v>
      </c>
      <c r="C50" s="4" t="s">
        <v>47</v>
      </c>
      <c r="D50" s="9">
        <v>46307</v>
      </c>
      <c r="E50" s="9">
        <v>46314</v>
      </c>
      <c r="F50" s="5">
        <v>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27.95">
      <c r="A51" s="4" t="s">
        <v>78</v>
      </c>
      <c r="B51" s="4" t="s">
        <v>33</v>
      </c>
      <c r="C51" s="4" t="s">
        <v>47</v>
      </c>
      <c r="D51" s="9">
        <v>46307</v>
      </c>
      <c r="E51" s="9">
        <v>46321</v>
      </c>
      <c r="F51" s="5">
        <v>0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27.95">
      <c r="A52" s="4" t="s">
        <v>79</v>
      </c>
      <c r="B52" s="4" t="s">
        <v>27</v>
      </c>
      <c r="C52" s="4" t="s">
        <v>47</v>
      </c>
      <c r="D52" s="9">
        <v>46307</v>
      </c>
      <c r="E52" s="9">
        <v>46321</v>
      </c>
      <c r="F52" s="5">
        <v>0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27.95">
      <c r="A53" s="4" t="s">
        <v>80</v>
      </c>
      <c r="B53" s="4" t="s">
        <v>27</v>
      </c>
      <c r="C53" s="4" t="s">
        <v>47</v>
      </c>
      <c r="D53" s="9">
        <v>46314</v>
      </c>
      <c r="E53" s="9">
        <v>46321</v>
      </c>
      <c r="F53" s="5">
        <v>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27.95">
      <c r="A54" s="4" t="s">
        <v>81</v>
      </c>
      <c r="B54" s="4" t="s">
        <v>33</v>
      </c>
      <c r="C54" s="4" t="s">
        <v>47</v>
      </c>
      <c r="D54" s="9">
        <v>46314</v>
      </c>
      <c r="E54" s="9">
        <v>46321</v>
      </c>
      <c r="F54" s="5">
        <v>0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27.95">
      <c r="A55" s="4" t="s">
        <v>82</v>
      </c>
      <c r="B55" s="4" t="s">
        <v>35</v>
      </c>
      <c r="C55" s="4" t="s">
        <v>47</v>
      </c>
      <c r="D55" s="9">
        <v>46314</v>
      </c>
      <c r="E55" s="9">
        <v>46321</v>
      </c>
      <c r="F55" s="5">
        <v>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27.95">
      <c r="A56" s="4" t="s">
        <v>83</v>
      </c>
      <c r="B56" s="4" t="s">
        <v>27</v>
      </c>
      <c r="C56" s="4" t="s">
        <v>47</v>
      </c>
      <c r="D56" s="9">
        <v>46314</v>
      </c>
      <c r="E56" s="9">
        <v>46321</v>
      </c>
      <c r="F56" s="5">
        <v>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>
      <c r="A57" s="7" t="s">
        <v>84</v>
      </c>
      <c r="B57" s="4" t="s">
        <v>46</v>
      </c>
      <c r="C57" s="4" t="s">
        <v>47</v>
      </c>
      <c r="D57" s="10">
        <v>46321</v>
      </c>
      <c r="E57" s="10">
        <v>46323</v>
      </c>
      <c r="F57" s="5">
        <v>0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27.95">
      <c r="A58" s="4" t="s">
        <v>85</v>
      </c>
      <c r="B58" s="4" t="s">
        <v>33</v>
      </c>
      <c r="C58" s="4" t="s">
        <v>47</v>
      </c>
      <c r="D58" s="9">
        <v>46328</v>
      </c>
      <c r="E58" s="9">
        <v>46342</v>
      </c>
      <c r="F58" s="5">
        <v>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>
      <c r="A59" s="4" t="s">
        <v>86</v>
      </c>
      <c r="B59" s="4" t="s">
        <v>35</v>
      </c>
      <c r="C59" s="4" t="s">
        <v>47</v>
      </c>
      <c r="D59" s="9">
        <v>46335</v>
      </c>
      <c r="E59" s="9">
        <v>46349</v>
      </c>
      <c r="F59" s="5">
        <v>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27.95">
      <c r="A60" s="4" t="s">
        <v>87</v>
      </c>
      <c r="B60" s="4" t="s">
        <v>27</v>
      </c>
      <c r="C60" s="4" t="s">
        <v>47</v>
      </c>
      <c r="D60" s="9">
        <v>46342</v>
      </c>
      <c r="E60" s="9">
        <v>46356</v>
      </c>
      <c r="F60" s="5">
        <v>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27.95">
      <c r="A61" s="4" t="s">
        <v>88</v>
      </c>
      <c r="B61" s="4" t="s">
        <v>27</v>
      </c>
      <c r="C61" s="4" t="s">
        <v>47</v>
      </c>
      <c r="D61" s="9">
        <v>46342</v>
      </c>
      <c r="E61" s="9">
        <v>46356</v>
      </c>
      <c r="F61" s="5">
        <v>0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27.95">
      <c r="A62" s="4" t="s">
        <v>89</v>
      </c>
      <c r="B62" s="4" t="s">
        <v>33</v>
      </c>
      <c r="C62" s="4" t="s">
        <v>47</v>
      </c>
      <c r="D62" s="9">
        <v>46349</v>
      </c>
      <c r="E62" s="9">
        <v>46356</v>
      </c>
      <c r="F62" s="5">
        <v>0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27.95">
      <c r="A63" s="4" t="s">
        <v>90</v>
      </c>
      <c r="B63" s="4" t="s">
        <v>27</v>
      </c>
      <c r="C63" s="4" t="s">
        <v>47</v>
      </c>
      <c r="D63" s="9">
        <v>46349</v>
      </c>
      <c r="E63" s="9">
        <v>46363</v>
      </c>
      <c r="F63" s="5">
        <v>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27.95">
      <c r="A64" s="4" t="s">
        <v>91</v>
      </c>
      <c r="B64" s="4" t="s">
        <v>27</v>
      </c>
      <c r="C64" s="4" t="s">
        <v>47</v>
      </c>
      <c r="D64" s="9">
        <v>46356</v>
      </c>
      <c r="E64" s="9">
        <v>46363</v>
      </c>
      <c r="F64" s="5">
        <v>0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>
      <c r="A65" s="7" t="s">
        <v>92</v>
      </c>
      <c r="B65" s="4" t="s">
        <v>46</v>
      </c>
      <c r="C65" s="4" t="s">
        <v>47</v>
      </c>
      <c r="D65" s="10">
        <v>46363</v>
      </c>
      <c r="E65" s="10">
        <v>46365</v>
      </c>
      <c r="F65" s="5">
        <v>0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</sheetData>
  <mergeCells count="2">
    <mergeCell ref="A1:X2"/>
    <mergeCell ref="A3:X3"/>
  </mergeCells>
  <conditionalFormatting sqref="B7:B65">
    <cfRule type="expression" dxfId="12" priority="26">
      <formula>$B7="Tomas"</formula>
    </cfRule>
    <cfRule type="expression" dxfId="11" priority="27">
      <formula>$B7="Pablo"</formula>
    </cfRule>
    <cfRule type="expression" dxfId="10" priority="28">
      <formula>$B7="Juan Pablo"</formula>
    </cfRule>
    <cfRule type="expression" dxfId="9" priority="29">
      <formula>$B7="Todos"</formula>
    </cfRule>
    <cfRule type="expression" dxfId="8" priority="30">
      <formula>$B7="Actividad especial"</formula>
    </cfRule>
  </conditionalFormatting>
  <conditionalFormatting sqref="C7:C65">
    <cfRule type="expression" dxfId="7" priority="121">
      <formula>$C7="Completado"</formula>
    </cfRule>
    <cfRule type="expression" dxfId="6" priority="122">
      <formula>$C7="En progreso"</formula>
    </cfRule>
    <cfRule type="expression" dxfId="5" priority="123">
      <formula>$C7="No iniciado"</formula>
    </cfRule>
  </conditionalFormatting>
  <conditionalFormatting sqref="F7:F65">
    <cfRule type="dataBar" priority="307">
      <dataBar>
        <cfvo type="min"/>
        <cfvo type="max"/>
        <color rgb="FF5B9BD5"/>
      </dataBar>
    </cfRule>
    <cfRule type="dataBar" priority="308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{7398AACF-82A7-F1BC-80A7-AD50D58368E0}</x14:id>
        </ext>
      </extLst>
    </cfRule>
  </conditionalFormatting>
  <conditionalFormatting sqref="G7:X65">
    <cfRule type="expression" dxfId="4" priority="31">
      <formula>AND(G$5&gt;=$D7,G$5&lt;=$E7,$B7="Tomas")</formula>
    </cfRule>
    <cfRule type="expression" dxfId="3" priority="32">
      <formula>AND(G$5&gt;=$D7,G$5&lt;=$E7,$B7="Pablo")</formula>
    </cfRule>
    <cfRule type="expression" dxfId="2" priority="33">
      <formula>AND(G$5&gt;=$D7,G$5&lt;=$E7,$B7="Juan Pablo")</formula>
    </cfRule>
    <cfRule type="expression" dxfId="1" priority="34">
      <formula>AND(G$5&gt;=$D7,G$5&lt;=$E7,$B7="Todos")</formula>
    </cfRule>
    <cfRule type="expression" dxfId="0" priority="35">
      <formula>AND(G$5&gt;=$D7,G$5&lt;=$E7,$B7="Actividad especial")</formula>
    </cfRule>
  </conditionalFormatting>
  <dataValidations count="3">
    <dataValidation type="list" sqref="B7:B65" xr:uid="{00000000-0002-0000-0000-000000000000}">
      <formula1>"Tomas,Pablo,Juan Pablo,Todos,Actividad especial"</formula1>
    </dataValidation>
    <dataValidation type="list" sqref="C7:C65" xr:uid="{00000000-0002-0000-0000-000001000000}">
      <formula1>"No iniciado,En progreso,Completado"</formula1>
    </dataValidation>
    <dataValidation type="decimal" sqref="F7:F65" xr:uid="{00000000-0002-0000-0000-000002000000}">
      <formula1>0</formula1>
      <formula2>1</formula2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98AACF-82A7-F1BC-80A7-AD50D58368E0}">
            <x14:dataBar>
              <x14:cfvo type="min"/>
              <x14:cfvo type="max"/>
              <x14:negativeFillColor auto="1"/>
              <x14:axisColor auto="1"/>
            </x14:dataBar>
          </x14:cfRule>
          <xm:sqref>F7:F65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2026-09-05T20:50:21Z</dcterms:created>
  <dcterms:modified xsi:type="dcterms:W3CDTF">2026-09-05T20:50:21Z</dcterms:modified>
  <cp:category/>
  <cp:contentStatus/>
</cp:coreProperties>
</file>